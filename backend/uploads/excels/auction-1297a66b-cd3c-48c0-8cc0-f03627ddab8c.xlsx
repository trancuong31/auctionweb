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MUA HÀNG\PARTRON KHAI QUANG\BÁO CÁO\WEB ĐẤU THẦU\"/>
    </mc:Choice>
  </mc:AlternateContent>
  <bookViews>
    <workbookView xWindow="0" yWindow="0" windowWidth="28800" windowHeight="12330"/>
  </bookViews>
  <sheets>
    <sheet name="클린룸용품" sheetId="2" r:id="rId1"/>
  </sheets>
  <definedNames>
    <definedName name="DATA122022">#REF!</definedName>
    <definedName name="DATA82023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6" i="2"/>
</calcChain>
</file>

<file path=xl/sharedStrings.xml><?xml version="1.0" encoding="utf-8"?>
<sst xmlns="http://schemas.openxmlformats.org/spreadsheetml/2006/main" count="164" uniqueCount="116">
  <si>
    <t>Chiếc</t>
  </si>
  <si>
    <t>Bộ</t>
  </si>
  <si>
    <t>EA</t>
  </si>
  <si>
    <t>Cuộn</t>
  </si>
  <si>
    <t>Đôi</t>
  </si>
  <si>
    <t>TH-0285-1</t>
  </si>
  <si>
    <t>TH-0310-2</t>
  </si>
  <si>
    <t>chiếc</t>
  </si>
  <si>
    <t>Găng tay PVC</t>
  </si>
  <si>
    <t>TH-0313-4</t>
  </si>
  <si>
    <t>Wiper 1061L (폴리wiper (cleanroom polyester wiper) )</t>
  </si>
  <si>
    <t>TH-0307-1A</t>
  </si>
  <si>
    <t>Wiper 2061N (극세사 wiper( cleanroom Microfiber wiper))</t>
  </si>
  <si>
    <t>TH-0303-1A</t>
  </si>
  <si>
    <t>Áo ngắn phòng sạch R# (JP-02) (Áo choàng phòng sạch, thân ngắn)</t>
  </si>
  <si>
    <t>TH-0317-1</t>
  </si>
  <si>
    <t>Áo choàng phòng sạch (thân dài)</t>
  </si>
  <si>
    <t>TH-0320-1</t>
  </si>
  <si>
    <t>Băng dính dán sàn 5cm</t>
  </si>
  <si>
    <t>TH-0304-1</t>
  </si>
  <si>
    <t>TH-0305-1</t>
  </si>
  <si>
    <t>TH-0306-1</t>
  </si>
  <si>
    <t>Vải lau phòng sạch 90*17cm</t>
  </si>
  <si>
    <t>TH-0326-2</t>
  </si>
  <si>
    <t>Nước giặt</t>
  </si>
  <si>
    <t>TH-0321-1</t>
  </si>
  <si>
    <t>Nước Xả</t>
  </si>
  <si>
    <t>TH-0322-1</t>
  </si>
  <si>
    <t>Giày lưới phòng sạch, không may boot</t>
  </si>
  <si>
    <t>TH-0302-1</t>
  </si>
  <si>
    <t>Khăn lau phòng sạch M3</t>
  </si>
  <si>
    <t>TH-0283</t>
  </si>
  <si>
    <t>túi</t>
  </si>
  <si>
    <t>Bao ngón không đai màu vàng</t>
  </si>
  <si>
    <t>TH-0286</t>
  </si>
  <si>
    <t>Quần áo mũ phòng sạch MD# khóa chéo</t>
  </si>
  <si>
    <t>TH-0311-1</t>
  </si>
  <si>
    <t>Mũ phòng sạch R#</t>
  </si>
  <si>
    <t>TH-0316-2</t>
  </si>
  <si>
    <t>Giày may boot phòng sạch, vải MD#</t>
  </si>
  <si>
    <t>TH-0294-1</t>
  </si>
  <si>
    <t>đôi</t>
  </si>
  <si>
    <t>Ủng đế cao PS màu (Giày may boot phòng sạch, vải MD#)</t>
  </si>
  <si>
    <t>TH-1153</t>
  </si>
  <si>
    <t>Sổ phòng sạch A4</t>
  </si>
  <si>
    <t>TH-0288</t>
  </si>
  <si>
    <t>quyển</t>
  </si>
  <si>
    <t>Sổ phòng sạch A5</t>
  </si>
  <si>
    <t>TH-0289</t>
  </si>
  <si>
    <t>TH-0287</t>
  </si>
  <si>
    <t>bag</t>
  </si>
  <si>
    <t>Giấy phòng sạch (màu vàng)</t>
  </si>
  <si>
    <t>TH-0287B</t>
  </si>
  <si>
    <t>TH-1180</t>
  </si>
  <si>
    <t>Khẩu trang phòng sạch 3P</t>
  </si>
  <si>
    <t>TH-0300</t>
  </si>
  <si>
    <t>TH-0291-1</t>
  </si>
  <si>
    <t>01-2025</t>
  </si>
  <si>
    <t>Giấy phòng sạch (màu hồng)</t>
  </si>
  <si>
    <t>TH-0287C</t>
  </si>
  <si>
    <t>02-2025</t>
  </si>
  <si>
    <t xml:space="preserve">Cán cầm con lăn dính bụi 4'' màu xanh </t>
  </si>
  <si>
    <t>TH-1181</t>
  </si>
  <si>
    <t>03-2025</t>
  </si>
  <si>
    <t>04-2025</t>
  </si>
  <si>
    <t>05-2025</t>
  </si>
  <si>
    <t>06-2025</t>
  </si>
  <si>
    <t>07-2025</t>
  </si>
  <si>
    <t>Băng dính dán sàn 2.5cm</t>
  </si>
  <si>
    <t>Cán chổi lau phòng sạch 90*17cm</t>
  </si>
  <si>
    <t>TH-0328-2</t>
  </si>
  <si>
    <t>Code</t>
  </si>
  <si>
    <t>Unit</t>
  </si>
  <si>
    <t>size 600*900mm/30sheet/pad
10pad/box</t>
  </si>
  <si>
    <t>Tấm</t>
  </si>
  <si>
    <t>20cm*17.5, xanh than, 8''</t>
  </si>
  <si>
    <t>ea</t>
  </si>
  <si>
    <t>50 đôi/gói</t>
  </si>
  <si>
    <t>6''x6'' 100sh/pack</t>
  </si>
  <si>
    <t>Bag</t>
  </si>
  <si>
    <t>6''x6''
100sh/pack</t>
  </si>
  <si>
    <t>Vải R</t>
  </si>
  <si>
    <t>5cm</t>
  </si>
  <si>
    <t>2.5cm</t>
  </si>
  <si>
    <t>1.2cm</t>
  </si>
  <si>
    <t>Dung tích 20L/can</t>
  </si>
  <si>
    <t>Can</t>
  </si>
  <si>
    <t>Dung tích 20kg/can</t>
  </si>
  <si>
    <t>KMSU-01, R#</t>
  </si>
  <si>
    <t>size M-3/100sh/bag; 30bag/box</t>
  </si>
  <si>
    <t>size M/1350 chiếc / túi</t>
  </si>
  <si>
    <t>Khóa chéo, Ca-31-C2-1P.VN03
Vải MD#</t>
  </si>
  <si>
    <t>Vải R#</t>
  </si>
  <si>
    <t>chất liệu vải MD #</t>
  </si>
  <si>
    <t>size A4/50 trang/ quyển</t>
  </si>
  <si>
    <t>size A5/50 trang/ quyển</t>
  </si>
  <si>
    <t>size A4/250pcs/10bag/box</t>
  </si>
  <si>
    <t>100mm*17.5m(4'')</t>
  </si>
  <si>
    <t>210*90*3P</t>
  </si>
  <si>
    <t>100mm</t>
  </si>
  <si>
    <t xml:space="preserve">Cái </t>
  </si>
  <si>
    <t>90*17cm</t>
  </si>
  <si>
    <t>Thảm dính bụi phòng sạch (스티키 매트)</t>
  </si>
  <si>
    <t>Con lăn lau bụi phòng sạch 20cm (롤러)</t>
  </si>
  <si>
    <t>Băng dính dán sàn 1.2cm</t>
  </si>
  <si>
    <t>Giấy phòng sạch (màu xanh)</t>
  </si>
  <si>
    <t xml:space="preserve">Con lăn dính bụi 4'' màu xanh </t>
  </si>
  <si>
    <t>Khẩu trang vải phòng sạch</t>
  </si>
  <si>
    <t>Tên hàng_품목명</t>
  </si>
  <si>
    <t>Phân loại_분류</t>
  </si>
  <si>
    <t>클린룸용품_Phòng sạch</t>
  </si>
  <si>
    <t>Quy cách_규격</t>
  </si>
  <si>
    <t>Unit price (VND)
단가</t>
  </si>
  <si>
    <t>Số lượng dùng hàng tháng_월당 사용량</t>
  </si>
  <si>
    <r>
      <rPr>
        <b/>
        <sz val="25"/>
        <color theme="1"/>
        <rFont val="Wingdings"/>
        <charset val="2"/>
      </rPr>
      <t>v</t>
    </r>
    <r>
      <rPr>
        <b/>
        <sz val="25"/>
        <color theme="1"/>
        <rFont val="Calibri"/>
        <family val="2"/>
      </rPr>
      <t xml:space="preserve"> Danh sách đề nghị báo giá_비딩 품목 리스트</t>
    </r>
  </si>
  <si>
    <t>Số tiền (VND)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</si>
</sst>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25"/>
      <color theme="1"/>
      <name val="Calibri"/>
      <family val="2"/>
    </font>
    <font>
      <b/>
      <sz val="25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3" fillId="0" borderId="0" applyFont="0" applyFill="0" applyBorder="0" applyAlignment="0" applyProtection="0"/>
    <xf numFmtId="0" fontId="1" fillId="0" borderId="0"/>
  </cellStyleXfs>
  <cellXfs count="14">
    <xf numFmtId="0" fontId="0" fillId="0" borderId="0" xfId="0">
      <alignment vertical="center"/>
    </xf>
    <xf numFmtId="0" fontId="1" fillId="0" borderId="0" xfId="2"/>
    <xf numFmtId="0" fontId="1" fillId="0" borderId="1" xfId="2" applyBorder="1"/>
    <xf numFmtId="0" fontId="2" fillId="2" borderId="1" xfId="2" applyFont="1" applyFill="1" applyBorder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1" fillId="0" borderId="1" xfId="2" applyBorder="1" applyAlignment="1">
      <alignment horizontal="center" vertical="center"/>
    </xf>
    <xf numFmtId="164" fontId="1" fillId="0" borderId="1" xfId="1" applyNumberFormat="1" applyFont="1" applyBorder="1"/>
    <xf numFmtId="164" fontId="1" fillId="0" borderId="0" xfId="2" applyNumberFormat="1"/>
    <xf numFmtId="0" fontId="4" fillId="0" borderId="0" xfId="2" applyFont="1"/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164" fontId="2" fillId="0" borderId="1" xfId="2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39"/>
  <sheetViews>
    <sheetView showGridLines="0" tabSelected="1" zoomScale="85" zoomScaleNormal="85" workbookViewId="0">
      <selection activeCell="I11" sqref="I11"/>
    </sheetView>
  </sheetViews>
  <sheetFormatPr defaultRowHeight="15"/>
  <cols>
    <col min="1" max="1" width="3.42578125" style="1" customWidth="1"/>
    <col min="2" max="2" width="24.42578125" style="1" customWidth="1"/>
    <col min="3" max="3" width="12.5703125" style="1" customWidth="1"/>
    <col min="4" max="4" width="60.140625" style="1" bestFit="1" customWidth="1"/>
    <col min="5" max="5" width="38.85546875" style="1" bestFit="1" customWidth="1"/>
    <col min="6" max="6" width="10" style="4" customWidth="1"/>
    <col min="7" max="7" width="15.5703125" style="1" bestFit="1" customWidth="1"/>
    <col min="8" max="9" width="15.5703125" style="1" customWidth="1"/>
    <col min="10" max="16" width="12.28515625" style="1" customWidth="1"/>
    <col min="17" max="16384" width="9.140625" style="1"/>
  </cols>
  <sheetData>
    <row r="3" spans="2:16" ht="27" customHeight="1">
      <c r="B3" s="8" t="s">
        <v>114</v>
      </c>
      <c r="I3" s="13">
        <f>SUM(I6:I35)</f>
        <v>324259500</v>
      </c>
    </row>
    <row r="4" spans="2:16" ht="22.5" customHeight="1">
      <c r="B4" s="10" t="s">
        <v>109</v>
      </c>
      <c r="C4" s="10" t="s">
        <v>71</v>
      </c>
      <c r="D4" s="10" t="s">
        <v>108</v>
      </c>
      <c r="E4" s="10" t="s">
        <v>111</v>
      </c>
      <c r="F4" s="10" t="s">
        <v>72</v>
      </c>
      <c r="G4" s="10" t="s">
        <v>112</v>
      </c>
      <c r="H4" s="11" t="s">
        <v>113</v>
      </c>
      <c r="I4" s="11" t="s">
        <v>115</v>
      </c>
      <c r="J4" s="9" t="s">
        <v>113</v>
      </c>
      <c r="K4" s="9"/>
      <c r="L4" s="9"/>
      <c r="M4" s="9"/>
      <c r="N4" s="9"/>
      <c r="O4" s="9"/>
      <c r="P4" s="9"/>
    </row>
    <row r="5" spans="2:16" ht="28.5" customHeight="1">
      <c r="B5" s="10"/>
      <c r="C5" s="10"/>
      <c r="D5" s="10"/>
      <c r="E5" s="10"/>
      <c r="F5" s="10"/>
      <c r="G5" s="10"/>
      <c r="H5" s="12"/>
      <c r="I5" s="12"/>
      <c r="J5" s="3" t="s">
        <v>57</v>
      </c>
      <c r="K5" s="3" t="s">
        <v>60</v>
      </c>
      <c r="L5" s="3" t="s">
        <v>63</v>
      </c>
      <c r="M5" s="3" t="s">
        <v>64</v>
      </c>
      <c r="N5" s="3" t="s">
        <v>65</v>
      </c>
      <c r="O5" s="3" t="s">
        <v>66</v>
      </c>
      <c r="P5" s="3" t="s">
        <v>67</v>
      </c>
    </row>
    <row r="6" spans="2:16">
      <c r="B6" s="2" t="s">
        <v>110</v>
      </c>
      <c r="C6" s="2" t="s">
        <v>5</v>
      </c>
      <c r="D6" s="2" t="s">
        <v>102</v>
      </c>
      <c r="E6" s="2" t="s">
        <v>73</v>
      </c>
      <c r="F6" s="5" t="s">
        <v>74</v>
      </c>
      <c r="G6" s="6">
        <v>36000</v>
      </c>
      <c r="H6" s="6">
        <v>300</v>
      </c>
      <c r="I6" s="6">
        <f>+H6*G6</f>
        <v>10800000</v>
      </c>
      <c r="J6" s="6">
        <v>500</v>
      </c>
      <c r="K6" s="6">
        <v>500</v>
      </c>
      <c r="L6" s="6">
        <v>400</v>
      </c>
      <c r="M6" s="6">
        <v>200</v>
      </c>
      <c r="N6" s="6">
        <v>400</v>
      </c>
      <c r="O6" s="6">
        <v>400</v>
      </c>
      <c r="P6" s="6">
        <v>200</v>
      </c>
    </row>
    <row r="7" spans="2:16">
      <c r="B7" s="2" t="s">
        <v>110</v>
      </c>
      <c r="C7" s="2" t="s">
        <v>6</v>
      </c>
      <c r="D7" s="2" t="s">
        <v>103</v>
      </c>
      <c r="E7" s="2" t="s">
        <v>75</v>
      </c>
      <c r="F7" s="5" t="s">
        <v>76</v>
      </c>
      <c r="G7" s="6">
        <v>14400</v>
      </c>
      <c r="H7" s="6">
        <v>250</v>
      </c>
      <c r="I7" s="6">
        <f t="shared" ref="I7:I35" si="0">+H7*G7</f>
        <v>3600000</v>
      </c>
      <c r="J7" s="6">
        <v>100</v>
      </c>
      <c r="K7" s="6">
        <v>400</v>
      </c>
      <c r="L7" s="6">
        <v>200</v>
      </c>
      <c r="M7" s="6">
        <v>300</v>
      </c>
      <c r="N7" s="6">
        <v>200</v>
      </c>
      <c r="O7" s="6">
        <v>200</v>
      </c>
      <c r="P7" s="6">
        <v>200</v>
      </c>
    </row>
    <row r="8" spans="2:16">
      <c r="B8" s="2" t="s">
        <v>110</v>
      </c>
      <c r="C8" s="2" t="s">
        <v>9</v>
      </c>
      <c r="D8" s="2" t="s">
        <v>8</v>
      </c>
      <c r="E8" s="2" t="s">
        <v>77</v>
      </c>
      <c r="F8" s="5" t="s">
        <v>4</v>
      </c>
      <c r="G8" s="6">
        <v>980</v>
      </c>
      <c r="H8" s="6">
        <v>80000</v>
      </c>
      <c r="I8" s="6">
        <f t="shared" si="0"/>
        <v>78400000</v>
      </c>
      <c r="J8" s="6">
        <v>51000</v>
      </c>
      <c r="K8" s="6">
        <v>84250</v>
      </c>
      <c r="L8" s="6">
        <v>89250</v>
      </c>
      <c r="M8" s="6">
        <v>73400</v>
      </c>
      <c r="N8" s="6">
        <v>52500</v>
      </c>
      <c r="O8" s="6">
        <v>67000</v>
      </c>
      <c r="P8" s="6">
        <v>67000</v>
      </c>
    </row>
    <row r="9" spans="2:16">
      <c r="B9" s="2" t="s">
        <v>110</v>
      </c>
      <c r="C9" s="2" t="s">
        <v>11</v>
      </c>
      <c r="D9" s="2" t="s">
        <v>10</v>
      </c>
      <c r="E9" s="2" t="s">
        <v>78</v>
      </c>
      <c r="F9" s="5" t="s">
        <v>79</v>
      </c>
      <c r="G9" s="6">
        <v>51200</v>
      </c>
      <c r="H9" s="6">
        <v>200</v>
      </c>
      <c r="I9" s="6">
        <f t="shared" si="0"/>
        <v>10240000</v>
      </c>
      <c r="J9" s="6">
        <v>300</v>
      </c>
      <c r="K9" s="6">
        <v>200</v>
      </c>
      <c r="L9" s="6">
        <v>300</v>
      </c>
      <c r="M9" s="6">
        <v>250</v>
      </c>
      <c r="N9" s="6">
        <v>200</v>
      </c>
      <c r="O9" s="6">
        <v>245</v>
      </c>
      <c r="P9" s="6">
        <v>200</v>
      </c>
    </row>
    <row r="10" spans="2:16">
      <c r="B10" s="2" t="s">
        <v>110</v>
      </c>
      <c r="C10" s="2" t="s">
        <v>13</v>
      </c>
      <c r="D10" s="2" t="s">
        <v>12</v>
      </c>
      <c r="E10" s="2" t="s">
        <v>80</v>
      </c>
      <c r="F10" s="5" t="s">
        <v>79</v>
      </c>
      <c r="G10" s="6">
        <v>97000</v>
      </c>
      <c r="H10" s="6">
        <v>300</v>
      </c>
      <c r="I10" s="6">
        <f t="shared" si="0"/>
        <v>29100000</v>
      </c>
      <c r="J10" s="6">
        <v>300</v>
      </c>
      <c r="K10" s="6">
        <v>295</v>
      </c>
      <c r="L10" s="6">
        <v>295</v>
      </c>
      <c r="M10" s="6">
        <v>300</v>
      </c>
      <c r="N10" s="6">
        <v>290</v>
      </c>
      <c r="O10" s="6">
        <v>300</v>
      </c>
      <c r="P10" s="6">
        <v>350</v>
      </c>
    </row>
    <row r="11" spans="2:16">
      <c r="B11" s="2" t="s">
        <v>110</v>
      </c>
      <c r="C11" s="2" t="s">
        <v>15</v>
      </c>
      <c r="D11" s="2" t="s">
        <v>14</v>
      </c>
      <c r="E11" s="2" t="s">
        <v>81</v>
      </c>
      <c r="F11" s="5" t="s">
        <v>0</v>
      </c>
      <c r="G11" s="6">
        <v>63000</v>
      </c>
      <c r="H11" s="6">
        <v>25</v>
      </c>
      <c r="I11" s="6">
        <f t="shared" si="0"/>
        <v>1575000</v>
      </c>
      <c r="J11" s="6">
        <v>0</v>
      </c>
      <c r="K11" s="6">
        <v>4</v>
      </c>
      <c r="L11" s="6">
        <v>35</v>
      </c>
      <c r="M11" s="6">
        <v>45</v>
      </c>
      <c r="N11" s="6">
        <v>17</v>
      </c>
      <c r="O11" s="6">
        <v>18</v>
      </c>
      <c r="P11" s="6">
        <v>47</v>
      </c>
    </row>
    <row r="12" spans="2:16">
      <c r="B12" s="2" t="s">
        <v>110</v>
      </c>
      <c r="C12" s="2" t="s">
        <v>17</v>
      </c>
      <c r="D12" s="2" t="s">
        <v>16</v>
      </c>
      <c r="E12" s="2" t="s">
        <v>81</v>
      </c>
      <c r="F12" s="5" t="s">
        <v>0</v>
      </c>
      <c r="G12" s="6">
        <v>79000</v>
      </c>
      <c r="H12" s="6">
        <v>60</v>
      </c>
      <c r="I12" s="6">
        <f t="shared" si="0"/>
        <v>4740000</v>
      </c>
      <c r="J12" s="6">
        <v>0</v>
      </c>
      <c r="K12" s="6">
        <v>30</v>
      </c>
      <c r="L12" s="6">
        <v>22</v>
      </c>
      <c r="M12" s="6">
        <v>264</v>
      </c>
      <c r="N12" s="6">
        <v>6</v>
      </c>
      <c r="O12" s="6">
        <v>46</v>
      </c>
      <c r="P12" s="6">
        <v>15</v>
      </c>
    </row>
    <row r="13" spans="2:16">
      <c r="B13" s="2" t="s">
        <v>110</v>
      </c>
      <c r="C13" s="2" t="s">
        <v>19</v>
      </c>
      <c r="D13" s="2" t="s">
        <v>18</v>
      </c>
      <c r="E13" s="2" t="s">
        <v>82</v>
      </c>
      <c r="F13" s="5" t="s">
        <v>3</v>
      </c>
      <c r="G13" s="6">
        <v>41200</v>
      </c>
      <c r="H13" s="6">
        <v>40</v>
      </c>
      <c r="I13" s="6">
        <f t="shared" si="0"/>
        <v>1648000</v>
      </c>
      <c r="J13" s="6">
        <v>30</v>
      </c>
      <c r="K13" s="6">
        <v>10</v>
      </c>
      <c r="L13" s="6">
        <v>34</v>
      </c>
      <c r="M13" s="6">
        <v>29</v>
      </c>
      <c r="N13" s="6">
        <v>52</v>
      </c>
      <c r="O13" s="6">
        <v>75</v>
      </c>
      <c r="P13" s="6">
        <v>20</v>
      </c>
    </row>
    <row r="14" spans="2:16">
      <c r="B14" s="2" t="s">
        <v>110</v>
      </c>
      <c r="C14" s="2" t="s">
        <v>20</v>
      </c>
      <c r="D14" s="2" t="s">
        <v>68</v>
      </c>
      <c r="E14" s="2" t="s">
        <v>83</v>
      </c>
      <c r="F14" s="5" t="s">
        <v>3</v>
      </c>
      <c r="G14" s="6">
        <v>22800</v>
      </c>
      <c r="H14" s="6">
        <v>30</v>
      </c>
      <c r="I14" s="6">
        <f t="shared" si="0"/>
        <v>684000</v>
      </c>
      <c r="J14" s="6">
        <v>20</v>
      </c>
      <c r="K14" s="6">
        <v>90</v>
      </c>
      <c r="L14" s="6">
        <v>0</v>
      </c>
      <c r="M14" s="6">
        <v>0</v>
      </c>
      <c r="N14" s="6">
        <v>28</v>
      </c>
      <c r="O14" s="6">
        <v>0</v>
      </c>
      <c r="P14" s="6">
        <v>30</v>
      </c>
    </row>
    <row r="15" spans="2:16">
      <c r="B15" s="2" t="s">
        <v>110</v>
      </c>
      <c r="C15" s="2" t="s">
        <v>21</v>
      </c>
      <c r="D15" s="2" t="s">
        <v>104</v>
      </c>
      <c r="E15" s="2" t="s">
        <v>84</v>
      </c>
      <c r="F15" s="5" t="s">
        <v>3</v>
      </c>
      <c r="G15" s="6">
        <v>10600</v>
      </c>
      <c r="H15" s="6">
        <v>30</v>
      </c>
      <c r="I15" s="6">
        <f t="shared" si="0"/>
        <v>318000</v>
      </c>
      <c r="J15" s="6">
        <v>0</v>
      </c>
      <c r="K15" s="6">
        <v>60</v>
      </c>
      <c r="L15" s="6">
        <v>20</v>
      </c>
      <c r="M15" s="6">
        <v>0</v>
      </c>
      <c r="N15" s="6">
        <v>30</v>
      </c>
      <c r="O15" s="6">
        <v>30</v>
      </c>
      <c r="P15" s="6">
        <v>30</v>
      </c>
    </row>
    <row r="16" spans="2:16">
      <c r="B16" s="2" t="s">
        <v>110</v>
      </c>
      <c r="C16" s="2" t="s">
        <v>23</v>
      </c>
      <c r="D16" s="2" t="s">
        <v>22</v>
      </c>
      <c r="E16" s="2"/>
      <c r="F16" s="5" t="s">
        <v>0</v>
      </c>
      <c r="G16" s="6">
        <v>625000</v>
      </c>
      <c r="H16" s="6">
        <v>3</v>
      </c>
      <c r="I16" s="6">
        <f t="shared" si="0"/>
        <v>1875000</v>
      </c>
      <c r="J16" s="6">
        <v>4</v>
      </c>
      <c r="K16" s="6">
        <v>0</v>
      </c>
      <c r="L16" s="6">
        <v>1</v>
      </c>
      <c r="M16" s="6">
        <v>2</v>
      </c>
      <c r="N16" s="6">
        <v>0</v>
      </c>
      <c r="O16" s="6">
        <v>5</v>
      </c>
      <c r="P16" s="6">
        <v>4</v>
      </c>
    </row>
    <row r="17" spans="2:16">
      <c r="B17" s="2" t="s">
        <v>110</v>
      </c>
      <c r="C17" s="2" t="s">
        <v>25</v>
      </c>
      <c r="D17" s="2" t="s">
        <v>24</v>
      </c>
      <c r="E17" s="2" t="s">
        <v>85</v>
      </c>
      <c r="F17" s="5" t="s">
        <v>86</v>
      </c>
      <c r="G17" s="6">
        <v>1522500</v>
      </c>
      <c r="H17" s="6">
        <v>14</v>
      </c>
      <c r="I17" s="6">
        <f t="shared" si="0"/>
        <v>21315000</v>
      </c>
      <c r="J17" s="6">
        <v>15</v>
      </c>
      <c r="K17" s="6">
        <v>16</v>
      </c>
      <c r="L17" s="6">
        <v>15</v>
      </c>
      <c r="M17" s="6">
        <v>15</v>
      </c>
      <c r="N17" s="6">
        <v>15</v>
      </c>
      <c r="O17" s="6">
        <v>11</v>
      </c>
      <c r="P17" s="6">
        <v>11</v>
      </c>
    </row>
    <row r="18" spans="2:16">
      <c r="B18" s="2" t="s">
        <v>110</v>
      </c>
      <c r="C18" s="2" t="s">
        <v>27</v>
      </c>
      <c r="D18" s="2" t="s">
        <v>26</v>
      </c>
      <c r="E18" s="2" t="s">
        <v>87</v>
      </c>
      <c r="F18" s="5" t="s">
        <v>86</v>
      </c>
      <c r="G18" s="6">
        <v>1250000</v>
      </c>
      <c r="H18" s="6">
        <v>5</v>
      </c>
      <c r="I18" s="6">
        <f t="shared" si="0"/>
        <v>6250000</v>
      </c>
      <c r="J18" s="6">
        <v>6</v>
      </c>
      <c r="K18" s="6">
        <v>3</v>
      </c>
      <c r="L18" s="6">
        <v>7</v>
      </c>
      <c r="M18" s="6">
        <v>4</v>
      </c>
      <c r="N18" s="6">
        <v>4</v>
      </c>
      <c r="O18" s="6">
        <v>4</v>
      </c>
      <c r="P18" s="6">
        <v>4</v>
      </c>
    </row>
    <row r="19" spans="2:16">
      <c r="B19" s="2" t="s">
        <v>110</v>
      </c>
      <c r="C19" s="2" t="s">
        <v>29</v>
      </c>
      <c r="D19" s="2" t="s">
        <v>28</v>
      </c>
      <c r="E19" s="2" t="s">
        <v>88</v>
      </c>
      <c r="F19" s="5" t="s">
        <v>4</v>
      </c>
      <c r="G19" s="6">
        <v>159000</v>
      </c>
      <c r="H19" s="6">
        <v>40</v>
      </c>
      <c r="I19" s="6">
        <f t="shared" si="0"/>
        <v>6360000</v>
      </c>
      <c r="J19" s="6">
        <v>40</v>
      </c>
      <c r="K19" s="6">
        <v>41</v>
      </c>
      <c r="L19" s="6">
        <v>42</v>
      </c>
      <c r="M19" s="6">
        <v>304</v>
      </c>
      <c r="N19" s="6">
        <v>20</v>
      </c>
      <c r="O19" s="6">
        <v>32</v>
      </c>
      <c r="P19" s="6">
        <v>7</v>
      </c>
    </row>
    <row r="20" spans="2:16">
      <c r="B20" s="2" t="s">
        <v>110</v>
      </c>
      <c r="C20" s="2" t="s">
        <v>31</v>
      </c>
      <c r="D20" s="2" t="s">
        <v>30</v>
      </c>
      <c r="E20" s="2" t="s">
        <v>89</v>
      </c>
      <c r="F20" s="5" t="s">
        <v>32</v>
      </c>
      <c r="G20" s="6">
        <v>35500</v>
      </c>
      <c r="H20" s="6">
        <v>300</v>
      </c>
      <c r="I20" s="6">
        <f t="shared" si="0"/>
        <v>10650000</v>
      </c>
      <c r="J20" s="6">
        <v>300</v>
      </c>
      <c r="K20" s="6">
        <v>295</v>
      </c>
      <c r="L20" s="6">
        <v>295</v>
      </c>
      <c r="M20" s="6">
        <v>297</v>
      </c>
      <c r="N20" s="6">
        <v>300</v>
      </c>
      <c r="O20" s="6">
        <v>225</v>
      </c>
      <c r="P20" s="6">
        <v>195</v>
      </c>
    </row>
    <row r="21" spans="2:16">
      <c r="B21" s="2" t="s">
        <v>110</v>
      </c>
      <c r="C21" s="2" t="s">
        <v>34</v>
      </c>
      <c r="D21" s="2" t="s">
        <v>33</v>
      </c>
      <c r="E21" s="2" t="s">
        <v>90</v>
      </c>
      <c r="F21" s="5" t="s">
        <v>32</v>
      </c>
      <c r="G21" s="6">
        <v>113000</v>
      </c>
      <c r="H21" s="6">
        <v>700</v>
      </c>
      <c r="I21" s="6">
        <f t="shared" si="0"/>
        <v>79100000</v>
      </c>
      <c r="J21" s="6">
        <v>700</v>
      </c>
      <c r="K21" s="6">
        <v>690</v>
      </c>
      <c r="L21" s="6">
        <v>690</v>
      </c>
      <c r="M21" s="6">
        <v>666</v>
      </c>
      <c r="N21" s="6">
        <v>700</v>
      </c>
      <c r="O21" s="6">
        <v>670</v>
      </c>
      <c r="P21" s="6">
        <v>780</v>
      </c>
    </row>
    <row r="22" spans="2:16">
      <c r="B22" s="2" t="s">
        <v>110</v>
      </c>
      <c r="C22" s="2" t="s">
        <v>36</v>
      </c>
      <c r="D22" s="2" t="s">
        <v>35</v>
      </c>
      <c r="E22" s="2" t="s">
        <v>91</v>
      </c>
      <c r="F22" s="5" t="s">
        <v>1</v>
      </c>
      <c r="G22" s="6">
        <v>198500</v>
      </c>
      <c r="H22" s="6">
        <v>35</v>
      </c>
      <c r="I22" s="6">
        <f t="shared" si="0"/>
        <v>6947500</v>
      </c>
      <c r="J22" s="6">
        <v>17</v>
      </c>
      <c r="K22" s="6">
        <v>33</v>
      </c>
      <c r="L22" s="6">
        <v>79</v>
      </c>
      <c r="M22" s="6">
        <v>49</v>
      </c>
      <c r="N22" s="6">
        <v>6</v>
      </c>
      <c r="O22" s="6">
        <v>13</v>
      </c>
      <c r="P22" s="6">
        <v>56</v>
      </c>
    </row>
    <row r="23" spans="2:16">
      <c r="B23" s="2" t="s">
        <v>110</v>
      </c>
      <c r="C23" s="2" t="s">
        <v>38</v>
      </c>
      <c r="D23" s="2" t="s">
        <v>37</v>
      </c>
      <c r="E23" s="2" t="s">
        <v>92</v>
      </c>
      <c r="F23" s="5" t="s">
        <v>0</v>
      </c>
      <c r="G23" s="6">
        <v>17000</v>
      </c>
      <c r="H23" s="6">
        <v>90</v>
      </c>
      <c r="I23" s="6">
        <f t="shared" si="0"/>
        <v>1530000</v>
      </c>
      <c r="J23" s="6">
        <v>24</v>
      </c>
      <c r="K23" s="6">
        <v>20</v>
      </c>
      <c r="L23" s="6">
        <v>30</v>
      </c>
      <c r="M23" s="6">
        <v>226</v>
      </c>
      <c r="N23" s="6">
        <v>150</v>
      </c>
      <c r="O23" s="6">
        <v>190</v>
      </c>
      <c r="P23" s="6">
        <v>38</v>
      </c>
    </row>
    <row r="24" spans="2:16">
      <c r="B24" s="2" t="s">
        <v>110</v>
      </c>
      <c r="C24" s="2" t="s">
        <v>40</v>
      </c>
      <c r="D24" s="2" t="s">
        <v>39</v>
      </c>
      <c r="E24" s="2" t="s">
        <v>93</v>
      </c>
      <c r="F24" s="5" t="s">
        <v>41</v>
      </c>
      <c r="G24" s="6">
        <v>160000</v>
      </c>
      <c r="H24" s="6">
        <v>100</v>
      </c>
      <c r="I24" s="6">
        <f t="shared" si="0"/>
        <v>16000000</v>
      </c>
      <c r="J24" s="6">
        <v>55</v>
      </c>
      <c r="K24" s="6">
        <v>152</v>
      </c>
      <c r="L24" s="6">
        <v>161</v>
      </c>
      <c r="M24" s="6">
        <v>123</v>
      </c>
      <c r="N24" s="6">
        <v>83</v>
      </c>
      <c r="O24" s="6">
        <v>42</v>
      </c>
      <c r="P24" s="6">
        <v>80</v>
      </c>
    </row>
    <row r="25" spans="2:16">
      <c r="B25" s="2" t="s">
        <v>110</v>
      </c>
      <c r="C25" s="2" t="s">
        <v>43</v>
      </c>
      <c r="D25" s="2" t="s">
        <v>42</v>
      </c>
      <c r="E25" s="2"/>
      <c r="F25" s="5" t="s">
        <v>4</v>
      </c>
      <c r="G25" s="6">
        <v>315000</v>
      </c>
      <c r="H25" s="6">
        <v>2</v>
      </c>
      <c r="I25" s="6">
        <f t="shared" si="0"/>
        <v>630000</v>
      </c>
      <c r="J25" s="6">
        <v>1</v>
      </c>
      <c r="K25" s="6">
        <v>3</v>
      </c>
      <c r="L25" s="6">
        <v>1</v>
      </c>
      <c r="M25" s="6">
        <v>0</v>
      </c>
      <c r="N25" s="6">
        <v>0</v>
      </c>
      <c r="O25" s="6">
        <v>1</v>
      </c>
      <c r="P25" s="6">
        <v>4</v>
      </c>
    </row>
    <row r="26" spans="2:16">
      <c r="B26" s="2" t="s">
        <v>110</v>
      </c>
      <c r="C26" s="2" t="s">
        <v>45</v>
      </c>
      <c r="D26" s="2" t="s">
        <v>44</v>
      </c>
      <c r="E26" s="2" t="s">
        <v>94</v>
      </c>
      <c r="F26" s="5" t="s">
        <v>46</v>
      </c>
      <c r="G26" s="6">
        <v>36000</v>
      </c>
      <c r="H26" s="6">
        <v>55</v>
      </c>
      <c r="I26" s="6">
        <f t="shared" si="0"/>
        <v>1980000</v>
      </c>
      <c r="J26" s="6">
        <v>70</v>
      </c>
      <c r="K26" s="6">
        <v>50</v>
      </c>
      <c r="L26" s="6">
        <v>50</v>
      </c>
      <c r="M26" s="6">
        <v>50</v>
      </c>
      <c r="N26" s="6">
        <v>70</v>
      </c>
      <c r="O26" s="6">
        <v>50</v>
      </c>
      <c r="P26" s="6">
        <v>50</v>
      </c>
    </row>
    <row r="27" spans="2:16">
      <c r="B27" s="2" t="s">
        <v>110</v>
      </c>
      <c r="C27" s="2" t="s">
        <v>48</v>
      </c>
      <c r="D27" s="2" t="s">
        <v>47</v>
      </c>
      <c r="E27" s="2" t="s">
        <v>95</v>
      </c>
      <c r="F27" s="5" t="s">
        <v>46</v>
      </c>
      <c r="G27" s="6">
        <v>23500</v>
      </c>
      <c r="H27" s="6">
        <v>30</v>
      </c>
      <c r="I27" s="6">
        <f t="shared" si="0"/>
        <v>705000</v>
      </c>
      <c r="J27" s="6">
        <v>20</v>
      </c>
      <c r="K27" s="6">
        <v>30</v>
      </c>
      <c r="L27" s="6">
        <v>30</v>
      </c>
      <c r="M27" s="6">
        <v>20</v>
      </c>
      <c r="N27" s="6">
        <v>45</v>
      </c>
      <c r="O27" s="6">
        <v>55</v>
      </c>
      <c r="P27" s="6">
        <v>30</v>
      </c>
    </row>
    <row r="28" spans="2:16">
      <c r="B28" s="2" t="s">
        <v>110</v>
      </c>
      <c r="C28" s="2" t="s">
        <v>49</v>
      </c>
      <c r="D28" s="2" t="s">
        <v>105</v>
      </c>
      <c r="E28" s="2" t="s">
        <v>96</v>
      </c>
      <c r="F28" s="5" t="s">
        <v>50</v>
      </c>
      <c r="G28" s="6">
        <v>97000</v>
      </c>
      <c r="H28" s="6">
        <v>35</v>
      </c>
      <c r="I28" s="6">
        <f t="shared" si="0"/>
        <v>3395000</v>
      </c>
      <c r="J28" s="6">
        <v>30</v>
      </c>
      <c r="K28" s="6">
        <v>30</v>
      </c>
      <c r="L28" s="6">
        <v>30</v>
      </c>
      <c r="M28" s="6">
        <v>50</v>
      </c>
      <c r="N28" s="6">
        <v>30</v>
      </c>
      <c r="O28" s="6">
        <v>40</v>
      </c>
      <c r="P28" s="6">
        <v>30</v>
      </c>
    </row>
    <row r="29" spans="2:16">
      <c r="B29" s="2" t="s">
        <v>110</v>
      </c>
      <c r="C29" s="2" t="s">
        <v>52</v>
      </c>
      <c r="D29" s="2" t="s">
        <v>51</v>
      </c>
      <c r="E29" s="2" t="s">
        <v>96</v>
      </c>
      <c r="F29" s="5" t="s">
        <v>50</v>
      </c>
      <c r="G29" s="6">
        <v>97000</v>
      </c>
      <c r="H29" s="6">
        <v>12</v>
      </c>
      <c r="I29" s="6">
        <f t="shared" si="0"/>
        <v>1164000</v>
      </c>
      <c r="J29" s="6">
        <v>10</v>
      </c>
      <c r="K29" s="6">
        <v>15</v>
      </c>
      <c r="L29" s="6">
        <v>20</v>
      </c>
      <c r="M29" s="6">
        <v>5</v>
      </c>
      <c r="N29" s="6">
        <v>0</v>
      </c>
      <c r="O29" s="6">
        <v>0</v>
      </c>
      <c r="P29" s="6">
        <v>30</v>
      </c>
    </row>
    <row r="30" spans="2:16">
      <c r="B30" s="2" t="s">
        <v>110</v>
      </c>
      <c r="C30" s="2" t="s">
        <v>53</v>
      </c>
      <c r="D30" s="2" t="s">
        <v>106</v>
      </c>
      <c r="E30" s="2" t="s">
        <v>97</v>
      </c>
      <c r="F30" s="5" t="s">
        <v>3</v>
      </c>
      <c r="G30" s="6">
        <v>7800</v>
      </c>
      <c r="H30" s="6">
        <v>220</v>
      </c>
      <c r="I30" s="6">
        <f t="shared" si="0"/>
        <v>1716000</v>
      </c>
      <c r="J30" s="6">
        <v>0</v>
      </c>
      <c r="K30" s="6">
        <v>400</v>
      </c>
      <c r="L30" s="6">
        <v>200</v>
      </c>
      <c r="M30" s="6">
        <v>290</v>
      </c>
      <c r="N30" s="6">
        <v>200</v>
      </c>
      <c r="O30" s="6">
        <v>200</v>
      </c>
      <c r="P30" s="6">
        <v>200</v>
      </c>
    </row>
    <row r="31" spans="2:16">
      <c r="B31" s="2" t="s">
        <v>110</v>
      </c>
      <c r="C31" s="2" t="s">
        <v>55</v>
      </c>
      <c r="D31" s="2" t="s">
        <v>54</v>
      </c>
      <c r="E31" s="2" t="s">
        <v>98</v>
      </c>
      <c r="F31" s="5" t="s">
        <v>2</v>
      </c>
      <c r="G31" s="6">
        <v>470</v>
      </c>
      <c r="H31" s="6">
        <v>45000</v>
      </c>
      <c r="I31" s="6">
        <f t="shared" si="0"/>
        <v>21150000</v>
      </c>
      <c r="J31" s="6">
        <v>30000</v>
      </c>
      <c r="K31" s="6">
        <v>39000</v>
      </c>
      <c r="L31" s="6">
        <v>50000</v>
      </c>
      <c r="M31" s="6">
        <v>50000</v>
      </c>
      <c r="N31" s="6">
        <v>45000</v>
      </c>
      <c r="O31" s="6">
        <v>37500</v>
      </c>
      <c r="P31" s="6">
        <v>37500</v>
      </c>
    </row>
    <row r="32" spans="2:16">
      <c r="B32" s="2" t="s">
        <v>110</v>
      </c>
      <c r="C32" s="2" t="s">
        <v>56</v>
      </c>
      <c r="D32" s="2" t="s">
        <v>107</v>
      </c>
      <c r="E32" s="2"/>
      <c r="F32" s="5" t="s">
        <v>7</v>
      </c>
      <c r="G32" s="6">
        <v>6900</v>
      </c>
      <c r="H32" s="6">
        <v>200</v>
      </c>
      <c r="I32" s="6">
        <f t="shared" si="0"/>
        <v>1380000</v>
      </c>
      <c r="J32" s="6">
        <v>148</v>
      </c>
      <c r="K32" s="6">
        <v>450</v>
      </c>
      <c r="L32" s="6">
        <v>416</v>
      </c>
      <c r="M32" s="6">
        <v>130</v>
      </c>
      <c r="N32" s="6">
        <v>0</v>
      </c>
      <c r="O32" s="6">
        <v>396</v>
      </c>
      <c r="P32" s="6">
        <v>0</v>
      </c>
    </row>
    <row r="33" spans="2:16">
      <c r="B33" s="2" t="s">
        <v>110</v>
      </c>
      <c r="C33" s="2" t="s">
        <v>59</v>
      </c>
      <c r="D33" s="2" t="s">
        <v>58</v>
      </c>
      <c r="E33" s="2" t="s">
        <v>96</v>
      </c>
      <c r="F33" s="5" t="s">
        <v>50</v>
      </c>
      <c r="G33" s="6">
        <v>97000</v>
      </c>
      <c r="H33" s="6">
        <v>6</v>
      </c>
      <c r="I33" s="6">
        <f t="shared" si="0"/>
        <v>582000</v>
      </c>
      <c r="J33" s="6">
        <v>5</v>
      </c>
      <c r="K33" s="6">
        <v>10</v>
      </c>
      <c r="L33" s="6">
        <v>14</v>
      </c>
      <c r="M33" s="6">
        <v>0</v>
      </c>
      <c r="N33" s="6">
        <v>2</v>
      </c>
      <c r="O33" s="6">
        <v>10</v>
      </c>
      <c r="P33" s="6">
        <v>0</v>
      </c>
    </row>
    <row r="34" spans="2:16">
      <c r="B34" s="2" t="s">
        <v>110</v>
      </c>
      <c r="C34" s="2" t="s">
        <v>62</v>
      </c>
      <c r="D34" s="2" t="s">
        <v>61</v>
      </c>
      <c r="E34" s="2" t="s">
        <v>99</v>
      </c>
      <c r="F34" s="5" t="s">
        <v>100</v>
      </c>
      <c r="G34" s="6">
        <v>17500</v>
      </c>
      <c r="H34" s="6">
        <v>6</v>
      </c>
      <c r="I34" s="6">
        <f t="shared" si="0"/>
        <v>105000</v>
      </c>
      <c r="J34" s="6">
        <v>0</v>
      </c>
      <c r="K34" s="6">
        <v>45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2:16">
      <c r="B35" s="2" t="s">
        <v>110</v>
      </c>
      <c r="C35" s="2" t="s">
        <v>70</v>
      </c>
      <c r="D35" s="2" t="s">
        <v>69</v>
      </c>
      <c r="E35" s="2" t="s">
        <v>101</v>
      </c>
      <c r="F35" s="5" t="s">
        <v>0</v>
      </c>
      <c r="G35" s="6">
        <v>80000</v>
      </c>
      <c r="H35" s="6">
        <v>4</v>
      </c>
      <c r="I35" s="6">
        <f t="shared" si="0"/>
        <v>320000</v>
      </c>
      <c r="J35" s="6">
        <v>8</v>
      </c>
      <c r="K35" s="6">
        <v>0</v>
      </c>
      <c r="L35" s="6">
        <v>8</v>
      </c>
      <c r="M35" s="6">
        <v>3</v>
      </c>
      <c r="N35" s="6">
        <v>0</v>
      </c>
      <c r="O35" s="6">
        <v>6</v>
      </c>
      <c r="P35" s="6">
        <v>0</v>
      </c>
    </row>
    <row r="39" spans="2:16">
      <c r="J39" s="7"/>
      <c r="K39" s="7"/>
      <c r="L39" s="7"/>
      <c r="M39" s="7"/>
      <c r="N39" s="7"/>
      <c r="O39" s="7"/>
      <c r="P39" s="7"/>
    </row>
  </sheetData>
  <mergeCells count="9">
    <mergeCell ref="J4:P4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클린룸용품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PARTRON</dc:creator>
  <cp:lastModifiedBy>DONG</cp:lastModifiedBy>
  <dcterms:created xsi:type="dcterms:W3CDTF">2025-08-14T02:48:06Z</dcterms:created>
  <dcterms:modified xsi:type="dcterms:W3CDTF">2025-08-16T06:57:32Z</dcterms:modified>
</cp:coreProperties>
</file>